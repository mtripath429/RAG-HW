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stics" sheetId="1" r:id="rId4"/>
    <sheet state="visible" name="Costs" sheetId="2" r:id="rId5"/>
    <sheet state="visible" name="Revenue" sheetId="3" r:id="rId6"/>
  </sheets>
  <definedNames/>
  <calcPr/>
</workbook>
</file>

<file path=xl/sharedStrings.xml><?xml version="1.0" encoding="utf-8"?>
<sst xmlns="http://schemas.openxmlformats.org/spreadsheetml/2006/main" count="109" uniqueCount="71">
  <si>
    <t>Tasks</t>
  </si>
  <si>
    <t>Status</t>
  </si>
  <si>
    <t>Notes</t>
  </si>
  <si>
    <t>Decide Date</t>
  </si>
  <si>
    <t>Decide Time</t>
  </si>
  <si>
    <t>5-9pm</t>
  </si>
  <si>
    <t>Reserve Rooms - NBC Tower</t>
  </si>
  <si>
    <t>2 big rooms; 6 smaller rooms</t>
  </si>
  <si>
    <t>Plan Game Schedule</t>
  </si>
  <si>
    <t>Order Games</t>
  </si>
  <si>
    <t>Create Booth Groups Event</t>
  </si>
  <si>
    <t>Redirect to google form to sign up for games (timeslots) "which games are you interested in?)</t>
  </si>
  <si>
    <t>Promote on Slack + Whatsapp</t>
  </si>
  <si>
    <t>Order Food</t>
  </si>
  <si>
    <t>Volunteering to handle day of activities</t>
  </si>
  <si>
    <t>Games</t>
  </si>
  <si>
    <t>Room</t>
  </si>
  <si>
    <t>Volunteers</t>
  </si>
  <si>
    <t>Carrom</t>
  </si>
  <si>
    <t>Study Room</t>
  </si>
  <si>
    <t>Chess</t>
  </si>
  <si>
    <t>3 Patti</t>
  </si>
  <si>
    <t>Rummy</t>
  </si>
  <si>
    <t>Bluff</t>
  </si>
  <si>
    <t>Ludo</t>
  </si>
  <si>
    <t>Odd/Eve</t>
  </si>
  <si>
    <t>Classroom 1</t>
  </si>
  <si>
    <t>Book Cricket</t>
  </si>
  <si>
    <t>Housie</t>
  </si>
  <si>
    <t>Classroom 2</t>
  </si>
  <si>
    <t>Food</t>
  </si>
  <si>
    <t>Qty</t>
  </si>
  <si>
    <t>Price</t>
  </si>
  <si>
    <t>Cost</t>
  </si>
  <si>
    <t>Total Cost of Everything</t>
  </si>
  <si>
    <t>Samosas</t>
  </si>
  <si>
    <t>Chai</t>
  </si>
  <si>
    <t>Estimated Total</t>
  </si>
  <si>
    <t>Total</t>
  </si>
  <si>
    <t>https://www.walmart.com/ip/Sipeihong-Interesting-Chess-Toys-Ludo-Board-Games-Rubber-Multicolor/6204720361?classType=REGULAR</t>
  </si>
  <si>
    <t>Snakes and Ladders</t>
  </si>
  <si>
    <t>https://www.amazon.com/Gothink-Wooden-Snakes-Ladders-Game/dp/B0CHYPKLB1/</t>
  </si>
  <si>
    <t>Carrom Board</t>
  </si>
  <si>
    <t>https://www.walmart.com/ip/Carrom-Board-Game-Classic-Strike-Pocket-Table-Game-with-Cue-Sticks/5108988457</t>
  </si>
  <si>
    <t>Make folks play online. Only semi + finals at NBC</t>
  </si>
  <si>
    <t>https://www.amazon.com/Bicycle-Standard-Playing-Card-Pack/dp/B08DJ7BM11/</t>
  </si>
  <si>
    <t>https://www.etsy.com/listing/1137873442/tambola-ticket-33-pages-12-tickets-per
https://www.amazon.com/Extguds-Tombola-Vintage-Italian-number1-90/dp/B0C816PTWC/</t>
  </si>
  <si>
    <t>Just need tokens - can print</t>
  </si>
  <si>
    <t>Already have cards</t>
  </si>
  <si>
    <t>Just need paperback books - volunteers</t>
  </si>
  <si>
    <t>Misc</t>
  </si>
  <si>
    <t>Supplies</t>
  </si>
  <si>
    <t>Plates</t>
  </si>
  <si>
    <t>https://www.amazon.com/Disposable-Compostable-Bagasse-Biodegradable-Eco-Friendly/dp/B0CJ5787FM</t>
  </si>
  <si>
    <t>Cups</t>
  </si>
  <si>
    <t>https://www.walmart.com/ip/Great-Value-Disposable-Foam-Cups-8-Ounce-50-Count/16940520</t>
  </si>
  <si>
    <t>Napkins</t>
  </si>
  <si>
    <t>https://www.walmart.com/ip/Great-Value-Disposable-Paper-Napkins-White-250-Count/882469515</t>
  </si>
  <si>
    <t>Rewards</t>
  </si>
  <si>
    <t>Amt</t>
  </si>
  <si>
    <t>10 for winner + Ludo board to finalists</t>
  </si>
  <si>
    <t>gift card</t>
  </si>
  <si>
    <t>10 + chess board for winner</t>
  </si>
  <si>
    <t>10 for full house; 5 for each line</t>
  </si>
  <si>
    <t>5 for winner</t>
  </si>
  <si>
    <t>Based on cashout after entry fee (ticket purchase for event)</t>
  </si>
  <si>
    <t>Ticket Type</t>
  </si>
  <si>
    <t>Revenue</t>
  </si>
  <si>
    <t>Member (SABG + Games)</t>
  </si>
  <si>
    <t>Non-Member</t>
  </si>
  <si>
    <t>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</si>
</sst>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almart.com/ip/Sipeihong-Interesting-Chess-Toys-Ludo-Board-Games-Rubber-Multicolor/6204720361?classType=REGULAR" TargetMode="External"/><Relationship Id="rId2" Type="http://schemas.openxmlformats.org/officeDocument/2006/relationships/hyperlink" Target="https://www.amazon.com/Gothink-Wooden-Snakes-Ladders-Game/dp/B0CHYPKLB1/" TargetMode="External"/><Relationship Id="rId3" Type="http://schemas.openxmlformats.org/officeDocument/2006/relationships/hyperlink" Target="https://www.walmart.com/ip/Carrom-Board-Game-Classic-Strike-Pocket-Table-Game-with-Cue-Sticks/5108988457" TargetMode="External"/><Relationship Id="rId4" Type="http://schemas.openxmlformats.org/officeDocument/2006/relationships/hyperlink" Target="https://www.amazon.com/Bicycle-Standard-Playing-Card-Pack/dp/B08DJ7BM11/" TargetMode="External"/><Relationship Id="rId5" Type="http://schemas.openxmlformats.org/officeDocument/2006/relationships/hyperlink" Target="https://www.amazon.com/Disposable-Compostable-Bagasse-Biodegradable-Eco-Friendly/dp/B0CJ5787FM" TargetMode="External"/><Relationship Id="rId6" Type="http://schemas.openxmlformats.org/officeDocument/2006/relationships/hyperlink" Target="https://www.walmart.com/ip/Great-Value-Disposable-Foam-Cups-8-Ounce-50-Count/16940520" TargetMode="External"/><Relationship Id="rId7" Type="http://schemas.openxmlformats.org/officeDocument/2006/relationships/hyperlink" Target="https://www.walmart.com/ip/Great-Value-Disposable-Paper-Napkins-White-250-Count/882469515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4">
      <c r="A4" s="1" t="s">
        <v>0</v>
      </c>
      <c r="C4" s="1" t="s">
        <v>1</v>
      </c>
      <c r="D4" s="1" t="s">
        <v>2</v>
      </c>
    </row>
    <row r="5">
      <c r="A5" s="2" t="s">
        <v>3</v>
      </c>
      <c r="D5" s="3">
        <v>45800.0</v>
      </c>
    </row>
    <row r="6">
      <c r="A6" s="2" t="s">
        <v>4</v>
      </c>
      <c r="D6" s="1" t="s">
        <v>5</v>
      </c>
    </row>
    <row r="7">
      <c r="A7" s="2" t="s">
        <v>6</v>
      </c>
      <c r="D7" s="2" t="s">
        <v>7</v>
      </c>
    </row>
    <row r="8">
      <c r="A8" s="2" t="s">
        <v>8</v>
      </c>
    </row>
    <row r="9">
      <c r="A9" s="2" t="s">
        <v>9</v>
      </c>
    </row>
    <row r="10">
      <c r="A10" s="2" t="s">
        <v>10</v>
      </c>
      <c r="D10" s="2" t="s">
        <v>11</v>
      </c>
    </row>
    <row r="11">
      <c r="A11" s="2" t="s">
        <v>12</v>
      </c>
    </row>
    <row r="12">
      <c r="A12" s="2" t="s">
        <v>13</v>
      </c>
    </row>
    <row r="13">
      <c r="A13" s="2" t="s">
        <v>14</v>
      </c>
    </row>
    <row r="19">
      <c r="A19" s="1" t="s">
        <v>15</v>
      </c>
      <c r="B19" s="1" t="s">
        <v>16</v>
      </c>
      <c r="C19" s="1" t="s">
        <v>17</v>
      </c>
    </row>
    <row r="20">
      <c r="A20" s="2" t="s">
        <v>18</v>
      </c>
      <c r="B20" s="2" t="s">
        <v>19</v>
      </c>
      <c r="C20" s="2">
        <v>0.0</v>
      </c>
    </row>
    <row r="21">
      <c r="A21" s="2" t="s">
        <v>20</v>
      </c>
      <c r="B21" s="2" t="s">
        <v>19</v>
      </c>
      <c r="C21" s="2">
        <v>0.0</v>
      </c>
    </row>
    <row r="22">
      <c r="A22" s="2" t="s">
        <v>21</v>
      </c>
      <c r="B22" s="2" t="s">
        <v>19</v>
      </c>
      <c r="C22" s="2">
        <v>0.0</v>
      </c>
    </row>
    <row r="23">
      <c r="A23" s="2" t="s">
        <v>22</v>
      </c>
      <c r="B23" s="2" t="s">
        <v>19</v>
      </c>
      <c r="C23" s="2">
        <v>1.0</v>
      </c>
    </row>
    <row r="24">
      <c r="A24" s="2" t="s">
        <v>23</v>
      </c>
      <c r="B24" s="2" t="s">
        <v>19</v>
      </c>
      <c r="C24" s="2">
        <v>1.0</v>
      </c>
    </row>
    <row r="25">
      <c r="A25" s="2" t="s">
        <v>24</v>
      </c>
      <c r="B25" s="2" t="s">
        <v>19</v>
      </c>
      <c r="C25" s="2">
        <v>0.0</v>
      </c>
    </row>
    <row r="26">
      <c r="A26" s="2" t="s">
        <v>25</v>
      </c>
      <c r="B26" s="2" t="s">
        <v>26</v>
      </c>
      <c r="C26" s="2">
        <v>1.0</v>
      </c>
    </row>
    <row r="27">
      <c r="A27" s="2" t="s">
        <v>27</v>
      </c>
      <c r="B27" s="2" t="s">
        <v>26</v>
      </c>
    </row>
    <row r="28">
      <c r="A28" s="2" t="s">
        <v>28</v>
      </c>
      <c r="B28" s="2" t="s">
        <v>29</v>
      </c>
      <c r="C28" s="2">
        <v>1.0</v>
      </c>
    </row>
  </sheetData>
  <mergeCells count="1">
    <mergeCell ref="C26:C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14" max="14" width="26.0"/>
  </cols>
  <sheetData>
    <row r="4">
      <c r="A4" s="1" t="s">
        <v>30</v>
      </c>
      <c r="B4" s="1" t="s">
        <v>31</v>
      </c>
      <c r="C4" s="1" t="s">
        <v>32</v>
      </c>
      <c r="D4" s="1" t="s">
        <v>33</v>
      </c>
      <c r="N4" s="2" t="s">
        <v>34</v>
      </c>
    </row>
    <row r="5">
      <c r="A5" s="2" t="s">
        <v>35</v>
      </c>
      <c r="D5" s="4">
        <f t="shared" ref="D5:D6" si="1">B5*C5</f>
        <v>0</v>
      </c>
      <c r="N5" s="4">
        <f>D8+D26+D37+B48</f>
        <v>363.19</v>
      </c>
    </row>
    <row r="6">
      <c r="A6" s="2" t="s">
        <v>36</v>
      </c>
      <c r="D6" s="4">
        <f t="shared" si="1"/>
        <v>0</v>
      </c>
    </row>
    <row r="7">
      <c r="A7" s="2" t="s">
        <v>37</v>
      </c>
      <c r="D7" s="2">
        <v>400.0</v>
      </c>
    </row>
    <row r="8">
      <c r="A8" s="1" t="s">
        <v>38</v>
      </c>
      <c r="D8" s="2">
        <v>122.16</v>
      </c>
    </row>
    <row r="14">
      <c r="A14" s="1" t="s">
        <v>15</v>
      </c>
      <c r="B14" s="1" t="s">
        <v>31</v>
      </c>
      <c r="C14" s="1" t="s">
        <v>32</v>
      </c>
      <c r="D14" s="1" t="s">
        <v>33</v>
      </c>
      <c r="E14" s="1" t="s">
        <v>2</v>
      </c>
    </row>
    <row r="15">
      <c r="A15" s="5" t="s">
        <v>24</v>
      </c>
      <c r="B15" s="2">
        <v>2.0</v>
      </c>
      <c r="C15" s="2">
        <v>9.8</v>
      </c>
      <c r="D15" s="4">
        <f t="shared" ref="D15:D24" si="2">B15*C15</f>
        <v>19.6</v>
      </c>
      <c r="E15" s="6" t="s">
        <v>39</v>
      </c>
    </row>
    <row r="16">
      <c r="A16" s="7" t="s">
        <v>40</v>
      </c>
      <c r="B16" s="2">
        <v>2.0</v>
      </c>
      <c r="C16" s="2">
        <v>13.0</v>
      </c>
      <c r="D16" s="4">
        <f t="shared" si="2"/>
        <v>26</v>
      </c>
      <c r="E16" s="6" t="s">
        <v>41</v>
      </c>
    </row>
    <row r="17">
      <c r="A17" s="5" t="s">
        <v>42</v>
      </c>
      <c r="B17" s="2">
        <v>1.0</v>
      </c>
      <c r="C17" s="2">
        <v>46.74</v>
      </c>
      <c r="D17" s="4">
        <f t="shared" si="2"/>
        <v>46.74</v>
      </c>
      <c r="E17" s="6" t="s">
        <v>43</v>
      </c>
    </row>
    <row r="18">
      <c r="A18" s="5" t="s">
        <v>20</v>
      </c>
      <c r="B18" s="2">
        <v>1.0</v>
      </c>
      <c r="C18" s="2">
        <v>11.0</v>
      </c>
      <c r="D18" s="4">
        <f t="shared" si="2"/>
        <v>11</v>
      </c>
      <c r="E18" s="2" t="s">
        <v>44</v>
      </c>
    </row>
    <row r="19">
      <c r="A19" s="7" t="s">
        <v>22</v>
      </c>
      <c r="B19" s="2">
        <v>1.0</v>
      </c>
      <c r="C19" s="2">
        <v>25.67</v>
      </c>
      <c r="D19" s="4">
        <f t="shared" si="2"/>
        <v>25.67</v>
      </c>
      <c r="E19" s="6" t="s">
        <v>45</v>
      </c>
    </row>
    <row r="20">
      <c r="A20" s="5" t="s">
        <v>28</v>
      </c>
      <c r="B20" s="2">
        <v>1.0</v>
      </c>
      <c r="C20" s="4">
        <f>3.31+19</f>
        <v>22.31</v>
      </c>
      <c r="D20" s="4">
        <f t="shared" si="2"/>
        <v>22.31</v>
      </c>
      <c r="E20" s="2" t="s">
        <v>46</v>
      </c>
    </row>
    <row r="21">
      <c r="A21" s="8" t="s">
        <v>21</v>
      </c>
      <c r="B21" s="2">
        <v>1.0</v>
      </c>
      <c r="C21" s="2">
        <v>0.0</v>
      </c>
      <c r="D21" s="4">
        <f t="shared" si="2"/>
        <v>0</v>
      </c>
      <c r="E21" s="2" t="s">
        <v>47</v>
      </c>
    </row>
    <row r="22">
      <c r="A22" s="7" t="s">
        <v>23</v>
      </c>
      <c r="B22" s="2">
        <v>1.0</v>
      </c>
      <c r="C22" s="2">
        <v>0.0</v>
      </c>
      <c r="D22" s="4">
        <f t="shared" si="2"/>
        <v>0</v>
      </c>
      <c r="E22" s="2" t="s">
        <v>48</v>
      </c>
    </row>
    <row r="23">
      <c r="A23" s="5" t="s">
        <v>25</v>
      </c>
      <c r="B23" s="2">
        <v>1.0</v>
      </c>
      <c r="C23" s="2">
        <v>0.0</v>
      </c>
      <c r="D23" s="4">
        <f t="shared" si="2"/>
        <v>0</v>
      </c>
    </row>
    <row r="24">
      <c r="A24" s="5" t="s">
        <v>27</v>
      </c>
      <c r="B24" s="2">
        <v>1.0</v>
      </c>
      <c r="C24" s="2">
        <v>0.0</v>
      </c>
      <c r="D24" s="4">
        <f t="shared" si="2"/>
        <v>0</v>
      </c>
      <c r="E24" s="2" t="s">
        <v>49</v>
      </c>
    </row>
    <row r="25">
      <c r="A25" s="2" t="s">
        <v>50</v>
      </c>
      <c r="D25" s="2">
        <v>14.71</v>
      </c>
    </row>
    <row r="26">
      <c r="A26" s="1" t="s">
        <v>38</v>
      </c>
      <c r="D26" s="4">
        <f>SUM(D15:D25)</f>
        <v>166.03</v>
      </c>
    </row>
    <row r="32">
      <c r="A32" s="1" t="s">
        <v>51</v>
      </c>
      <c r="B32" s="1" t="s">
        <v>31</v>
      </c>
      <c r="C32" s="1" t="s">
        <v>32</v>
      </c>
      <c r="D32" s="1" t="s">
        <v>33</v>
      </c>
      <c r="E32" s="1" t="s">
        <v>2</v>
      </c>
    </row>
    <row r="33">
      <c r="A33" s="2" t="s">
        <v>52</v>
      </c>
      <c r="B33" s="2">
        <v>1.0</v>
      </c>
      <c r="C33" s="2">
        <v>12.0</v>
      </c>
      <c r="D33" s="4">
        <f t="shared" ref="D33:D35" si="3">B33*C33</f>
        <v>12</v>
      </c>
      <c r="E33" s="6" t="s">
        <v>53</v>
      </c>
    </row>
    <row r="34">
      <c r="A34" s="2" t="s">
        <v>54</v>
      </c>
      <c r="B34" s="2">
        <v>2.0</v>
      </c>
      <c r="C34" s="2">
        <v>1.82</v>
      </c>
      <c r="D34" s="4">
        <f t="shared" si="3"/>
        <v>3.64</v>
      </c>
      <c r="E34" s="6" t="s">
        <v>55</v>
      </c>
    </row>
    <row r="35">
      <c r="A35" s="2" t="s">
        <v>56</v>
      </c>
      <c r="B35" s="2">
        <v>1.0</v>
      </c>
      <c r="C35" s="2">
        <v>2.26</v>
      </c>
      <c r="D35" s="4">
        <f t="shared" si="3"/>
        <v>2.26</v>
      </c>
      <c r="E35" s="6" t="s">
        <v>57</v>
      </c>
    </row>
    <row r="37">
      <c r="A37" s="1" t="s">
        <v>38</v>
      </c>
      <c r="D37" s="2">
        <v>0.0</v>
      </c>
    </row>
    <row r="40">
      <c r="A40" s="1" t="s">
        <v>58</v>
      </c>
      <c r="B40" s="1" t="s">
        <v>59</v>
      </c>
      <c r="C40" s="1" t="s">
        <v>2</v>
      </c>
    </row>
    <row r="41">
      <c r="A41" s="2" t="s">
        <v>24</v>
      </c>
      <c r="B41" s="2">
        <v>10.0</v>
      </c>
      <c r="C41" s="2" t="s">
        <v>60</v>
      </c>
    </row>
    <row r="42">
      <c r="A42" s="2" t="s">
        <v>18</v>
      </c>
      <c r="B42" s="2">
        <v>20.0</v>
      </c>
      <c r="C42" s="2" t="s">
        <v>61</v>
      </c>
    </row>
    <row r="43">
      <c r="A43" s="2" t="s">
        <v>20</v>
      </c>
      <c r="B43" s="2">
        <v>10.0</v>
      </c>
      <c r="C43" s="2" t="s">
        <v>62</v>
      </c>
    </row>
    <row r="44">
      <c r="A44" s="2" t="s">
        <v>28</v>
      </c>
      <c r="B44" s="4">
        <f>10+15</f>
        <v>25</v>
      </c>
      <c r="C44" s="2" t="s">
        <v>63</v>
      </c>
    </row>
    <row r="45">
      <c r="A45" s="2" t="s">
        <v>25</v>
      </c>
      <c r="B45" s="2">
        <v>5.0</v>
      </c>
      <c r="C45" s="2" t="s">
        <v>64</v>
      </c>
    </row>
    <row r="46">
      <c r="A46" s="2" t="s">
        <v>27</v>
      </c>
      <c r="B46" s="2">
        <v>5.0</v>
      </c>
      <c r="C46" s="2" t="s">
        <v>64</v>
      </c>
    </row>
    <row r="47">
      <c r="A47" s="2" t="s">
        <v>21</v>
      </c>
      <c r="B47" s="2">
        <v>0.0</v>
      </c>
      <c r="C47" s="2" t="s">
        <v>65</v>
      </c>
    </row>
    <row r="48">
      <c r="A48" s="2" t="s">
        <v>38</v>
      </c>
      <c r="B48" s="4">
        <f>SUM(B41:B47)</f>
        <v>75</v>
      </c>
    </row>
  </sheetData>
  <hyperlinks>
    <hyperlink r:id="rId1" ref="E15"/>
    <hyperlink r:id="rId2" ref="E16"/>
    <hyperlink r:id="rId3" ref="E17"/>
    <hyperlink r:id="rId4" ref="E19"/>
    <hyperlink r:id="rId5" ref="E33"/>
    <hyperlink r:id="rId6" ref="E34"/>
    <hyperlink r:id="rId7" ref="E35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4">
      <c r="A4" s="2" t="s">
        <v>66</v>
      </c>
      <c r="B4" s="2" t="s">
        <v>32</v>
      </c>
      <c r="C4" s="2" t="s">
        <v>31</v>
      </c>
      <c r="D4" s="2" t="s">
        <v>67</v>
      </c>
    </row>
    <row r="5">
      <c r="A5" s="2" t="s">
        <v>68</v>
      </c>
      <c r="B5" s="2">
        <v>10.0</v>
      </c>
      <c r="C5" s="2">
        <v>30.0</v>
      </c>
      <c r="D5" s="4">
        <f t="shared" ref="D5:D6" si="1">B5*C5</f>
        <v>300</v>
      </c>
    </row>
    <row r="6">
      <c r="A6" s="2" t="s">
        <v>69</v>
      </c>
      <c r="B6" s="2">
        <v>15.0</v>
      </c>
      <c r="C6" s="2">
        <v>10.0</v>
      </c>
      <c r="D6" s="4">
        <f t="shared" si="1"/>
        <v>150</v>
      </c>
    </row>
    <row r="8">
      <c r="A8" s="2" t="s">
        <v>38</v>
      </c>
      <c r="D8" s="4">
        <f>SUM(D5:D7)</f>
        <v>450</v>
      </c>
    </row>
    <row r="10">
      <c r="A10" s="2" t="s">
        <v>70</v>
      </c>
      <c r="D10" s="2">
        <v>80.0</v>
      </c>
    </row>
  </sheetData>
  <drawing r:id="rId1"/>
</worksheet>
</file>